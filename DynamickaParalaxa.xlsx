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4"/>
  </sheets>
  <definedNames/>
  <calcPr/>
</workbook>
</file>

<file path=xl/sharedStrings.xml><?xml version="1.0" encoding="utf-8"?>
<sst xmlns="http://schemas.openxmlformats.org/spreadsheetml/2006/main" count="27" uniqueCount="27">
  <si>
    <t>a</t>
  </si>
  <si>
    <t>b</t>
  </si>
  <si>
    <t>excentricita</t>
  </si>
  <si>
    <t>h</t>
  </si>
  <si>
    <t>plocha úseku</t>
  </si>
  <si>
    <t>plocha celku</t>
  </si>
  <si>
    <t>doba pozorování</t>
  </si>
  <si>
    <t>doba oběhu</t>
  </si>
  <si>
    <t>velká poloosa</t>
  </si>
  <si>
    <t>konverze na radiány</t>
  </si>
  <si>
    <t>vzdálenost [au]</t>
  </si>
  <si>
    <t>vzdálenost [pc]</t>
  </si>
  <si>
    <t>mag1_rel</t>
  </si>
  <si>
    <t>mag2_rel</t>
  </si>
  <si>
    <t>mag1_abs</t>
  </si>
  <si>
    <t>mag2_abs</t>
  </si>
  <si>
    <t>mag_sun</t>
  </si>
  <si>
    <t>Zářivý výkon slunce Ls</t>
  </si>
  <si>
    <t>Mag1_abs-MagSun</t>
  </si>
  <si>
    <t>Mag2_abs-MagSun</t>
  </si>
  <si>
    <t>(Mag1-MagSun)/-2,5</t>
  </si>
  <si>
    <t>(Mag2-MagSun)/-2,5</t>
  </si>
  <si>
    <t>L1</t>
  </si>
  <si>
    <t>L2</t>
  </si>
  <si>
    <t>Hmotnost slunce</t>
  </si>
  <si>
    <t>Hmotnost 1</t>
  </si>
  <si>
    <t>Hmotnost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</si>
</sst>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0" fontId="1" numFmtId="4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</cols>
  <sheetData>
    <row r="1">
      <c r="A1" s="1" t="s">
        <v>0</v>
      </c>
      <c r="B1" s="1"/>
      <c r="C1" s="1">
        <v>4.5</v>
      </c>
    </row>
    <row r="2">
      <c r="A2" s="1" t="s">
        <v>1</v>
      </c>
      <c r="B2" s="1"/>
      <c r="C2" s="1">
        <v>3.4</v>
      </c>
    </row>
    <row r="3">
      <c r="A3" s="1" t="s">
        <v>2</v>
      </c>
      <c r="B3" s="1" t="s">
        <v>3</v>
      </c>
      <c r="C3" s="2">
        <f>SQRT(power(4.5,2)-power(3.4,2))</f>
        <v>2.947880595</v>
      </c>
      <c r="I3" s="3"/>
    </row>
    <row r="4">
      <c r="A4" s="1" t="s">
        <v>4</v>
      </c>
      <c r="C4" s="2">
        <f>C1*C2*(ACOS(C3/C1)-((C3/power(C1,2))*SQRT(power(C1,2)-POWER(C3,2))))</f>
        <v>5.531699409</v>
      </c>
    </row>
    <row r="5">
      <c r="A5" s="1" t="s">
        <v>5</v>
      </c>
      <c r="C5" s="2">
        <f>PI()*C1*C2</f>
        <v>48.0663676</v>
      </c>
    </row>
    <row r="6">
      <c r="A6" s="1" t="s">
        <v>6</v>
      </c>
      <c r="C6" s="1">
        <v>11.0</v>
      </c>
      <c r="D6" s="2">
        <f>C18+5-(5*(LOG10(C16)))</f>
        <v>5.08476267</v>
      </c>
      <c r="I6" s="4"/>
    </row>
    <row r="7">
      <c r="A7" s="1" t="s">
        <v>7</v>
      </c>
      <c r="C7" s="2">
        <f>C6*C5/C4</f>
        <v>95.58184647</v>
      </c>
      <c r="I7" s="4"/>
    </row>
    <row r="8">
      <c r="C8" s="2">
        <f>1/3</f>
        <v>0.3333333333</v>
      </c>
    </row>
    <row r="9">
      <c r="A9" s="1"/>
      <c r="C9" s="2">
        <f>POWER(C7,2)</f>
        <v>9135.889374</v>
      </c>
    </row>
    <row r="10">
      <c r="A10" s="1" t="s">
        <v>8</v>
      </c>
      <c r="C10" s="2">
        <f>POWER((2*C9),C8)</f>
        <v>26.33865594</v>
      </c>
      <c r="D10" s="2">
        <f t="shared" ref="D10:G10" si="1">POWER((C39*$C9),$C8)</f>
        <v>24.5092877</v>
      </c>
      <c r="E10" s="2">
        <f t="shared" si="1"/>
        <v>24.17552132</v>
      </c>
      <c r="F10" s="2">
        <f t="shared" si="1"/>
        <v>24.11246401</v>
      </c>
      <c r="G10" s="2">
        <f t="shared" si="1"/>
        <v>24.10047175</v>
      </c>
    </row>
    <row r="12">
      <c r="A12" s="1"/>
      <c r="C12" s="2">
        <f t="shared" ref="C12:G12" si="2">((4.5/60))/60</f>
        <v>0.00125</v>
      </c>
      <c r="D12" s="2">
        <f t="shared" si="2"/>
        <v>0.00125</v>
      </c>
      <c r="E12" s="2">
        <f t="shared" si="2"/>
        <v>0.00125</v>
      </c>
      <c r="F12" s="2">
        <f t="shared" si="2"/>
        <v>0.00125</v>
      </c>
      <c r="G12" s="2">
        <f t="shared" si="2"/>
        <v>0.00125</v>
      </c>
    </row>
    <row r="13">
      <c r="A13" s="1" t="s">
        <v>9</v>
      </c>
      <c r="C13" s="2">
        <f t="shared" ref="C13:G13" si="3">C12*(pi()/180)</f>
        <v>0.00002181661565</v>
      </c>
      <c r="D13" s="2">
        <f t="shared" si="3"/>
        <v>0.00002181661565</v>
      </c>
      <c r="E13" s="2">
        <f t="shared" si="3"/>
        <v>0.00002181661565</v>
      </c>
      <c r="F13" s="2">
        <f t="shared" si="3"/>
        <v>0.00002181661565</v>
      </c>
      <c r="G13" s="2">
        <f t="shared" si="3"/>
        <v>0.00002181661565</v>
      </c>
    </row>
    <row r="14">
      <c r="A14" s="1"/>
      <c r="C14" s="2">
        <f t="shared" ref="C14:G14" si="4">TAN(C13)</f>
        <v>0.00002181661565</v>
      </c>
      <c r="D14" s="2">
        <f t="shared" si="4"/>
        <v>0.00002181661565</v>
      </c>
      <c r="E14" s="2">
        <f t="shared" si="4"/>
        <v>0.00002181661565</v>
      </c>
      <c r="F14" s="2">
        <f t="shared" si="4"/>
        <v>0.00002181661565</v>
      </c>
      <c r="G14" s="2">
        <f t="shared" si="4"/>
        <v>0.00002181661565</v>
      </c>
    </row>
    <row r="15">
      <c r="A15" s="1" t="s">
        <v>10</v>
      </c>
      <c r="C15" s="2">
        <f t="shared" ref="C15:G15" si="5">C10/C14</f>
        <v>1207275.059</v>
      </c>
      <c r="D15" s="2">
        <f t="shared" si="5"/>
        <v>1123422.995</v>
      </c>
      <c r="E15" s="2">
        <f t="shared" si="5"/>
        <v>1108124.271</v>
      </c>
      <c r="F15" s="2">
        <f t="shared" si="5"/>
        <v>1105233.937</v>
      </c>
      <c r="G15" s="2">
        <f t="shared" si="5"/>
        <v>1104684.252</v>
      </c>
    </row>
    <row r="16">
      <c r="A16" s="1" t="s">
        <v>11</v>
      </c>
      <c r="C16" s="2">
        <f t="shared" ref="C16:G16" si="6">C15*4.8*power(10,-6)</f>
        <v>5.794920282</v>
      </c>
      <c r="D16" s="2">
        <f t="shared" si="6"/>
        <v>5.392430376</v>
      </c>
      <c r="E16" s="2">
        <f t="shared" si="6"/>
        <v>5.318996502</v>
      </c>
      <c r="F16" s="2">
        <f t="shared" si="6"/>
        <v>5.305122897</v>
      </c>
      <c r="G16" s="2">
        <f t="shared" si="6"/>
        <v>5.302484411</v>
      </c>
    </row>
    <row r="17">
      <c r="A17" s="1"/>
      <c r="C17" s="2">
        <f t="shared" ref="C17:G17" si="7">LOG10(C16)</f>
        <v>0.763047466</v>
      </c>
      <c r="D17" s="2">
        <f t="shared" si="7"/>
        <v>0.7317845465</v>
      </c>
      <c r="E17" s="2">
        <f t="shared" si="7"/>
        <v>0.7258297047</v>
      </c>
      <c r="F17" s="2">
        <f t="shared" si="7"/>
        <v>0.7246954491</v>
      </c>
      <c r="G17" s="2">
        <f t="shared" si="7"/>
        <v>0.7244794004</v>
      </c>
    </row>
    <row r="18">
      <c r="A18" s="1" t="s">
        <v>12</v>
      </c>
      <c r="C18" s="1">
        <v>3.9</v>
      </c>
      <c r="D18" s="1">
        <v>3.9</v>
      </c>
      <c r="E18" s="1">
        <v>3.9</v>
      </c>
      <c r="F18" s="1">
        <v>3.9</v>
      </c>
      <c r="G18" s="1">
        <v>3.9</v>
      </c>
    </row>
    <row r="19">
      <c r="A19" s="1" t="s">
        <v>13</v>
      </c>
      <c r="C19" s="1">
        <v>5.3</v>
      </c>
      <c r="D19" s="1">
        <v>5.3</v>
      </c>
      <c r="E19" s="1">
        <v>5.3</v>
      </c>
      <c r="F19" s="1">
        <v>5.3</v>
      </c>
      <c r="G19" s="1">
        <v>5.3</v>
      </c>
    </row>
    <row r="20">
      <c r="A20" s="1" t="s">
        <v>14</v>
      </c>
      <c r="C20" s="2">
        <f t="shared" ref="C20:G20" si="8">C18+5-(5*C17)</f>
        <v>5.08476267</v>
      </c>
      <c r="D20" s="2">
        <f t="shared" si="8"/>
        <v>5.241077268</v>
      </c>
      <c r="E20" s="2">
        <f t="shared" si="8"/>
        <v>5.270851477</v>
      </c>
      <c r="F20" s="2">
        <f t="shared" si="8"/>
        <v>5.276522755</v>
      </c>
      <c r="G20" s="2">
        <f t="shared" si="8"/>
        <v>5.277602998</v>
      </c>
    </row>
    <row r="21">
      <c r="A21" s="1" t="s">
        <v>15</v>
      </c>
      <c r="C21" s="2">
        <f t="shared" ref="C21:G21" si="9">C19+5-(5*C17)</f>
        <v>6.48476267</v>
      </c>
      <c r="D21" s="2">
        <f t="shared" si="9"/>
        <v>6.641077268</v>
      </c>
      <c r="E21" s="2">
        <f t="shared" si="9"/>
        <v>6.670851477</v>
      </c>
      <c r="F21" s="2">
        <f t="shared" si="9"/>
        <v>6.676522755</v>
      </c>
      <c r="G21" s="2">
        <f t="shared" si="9"/>
        <v>6.677602998</v>
      </c>
    </row>
    <row r="23">
      <c r="A23" s="1" t="s">
        <v>16</v>
      </c>
      <c r="C23" s="1">
        <v>4.9</v>
      </c>
      <c r="D23" s="1">
        <v>4.9</v>
      </c>
      <c r="E23" s="1">
        <v>4.9</v>
      </c>
      <c r="F23" s="1">
        <v>4.9</v>
      </c>
      <c r="G23" s="1">
        <v>4.9</v>
      </c>
    </row>
    <row r="24">
      <c r="A24" s="1" t="s">
        <v>17</v>
      </c>
      <c r="C24" s="1">
        <f t="shared" ref="C24:G24" si="10">3.827E+26</f>
        <v>3.827E+26</v>
      </c>
      <c r="D24" s="1">
        <f t="shared" si="10"/>
        <v>3.827E+26</v>
      </c>
      <c r="E24" s="1">
        <f t="shared" si="10"/>
        <v>3.827E+26</v>
      </c>
      <c r="F24" s="1">
        <f t="shared" si="10"/>
        <v>3.827E+26</v>
      </c>
      <c r="G24" s="1">
        <f t="shared" si="10"/>
        <v>3.827E+26</v>
      </c>
    </row>
    <row r="26">
      <c r="A26" s="1" t="s">
        <v>18</v>
      </c>
      <c r="C26" s="2">
        <f t="shared" ref="C26:G26" si="11">C20-C23</f>
        <v>0.1847626702</v>
      </c>
      <c r="D26" s="2">
        <f t="shared" si="11"/>
        <v>0.3410772676</v>
      </c>
      <c r="E26" s="2">
        <f t="shared" si="11"/>
        <v>0.3708514766</v>
      </c>
      <c r="F26" s="2">
        <f t="shared" si="11"/>
        <v>0.3765227546</v>
      </c>
      <c r="G26" s="2">
        <f t="shared" si="11"/>
        <v>0.377602998</v>
      </c>
    </row>
    <row r="27">
      <c r="A27" s="1" t="s">
        <v>19</v>
      </c>
      <c r="C27" s="2">
        <f t="shared" ref="C27:G27" si="12">C21-C23</f>
        <v>1.58476267</v>
      </c>
      <c r="D27" s="2">
        <f t="shared" si="12"/>
        <v>1.741077268</v>
      </c>
      <c r="E27" s="2">
        <f t="shared" si="12"/>
        <v>1.770851477</v>
      </c>
      <c r="F27" s="2">
        <f t="shared" si="12"/>
        <v>1.776522755</v>
      </c>
      <c r="G27" s="2">
        <f t="shared" si="12"/>
        <v>1.777602998</v>
      </c>
    </row>
    <row r="28">
      <c r="A28" s="1" t="s">
        <v>20</v>
      </c>
      <c r="C28" s="2">
        <f t="shared" ref="C28:G28" si="13">C26/-2.5</f>
        <v>-0.07390506808</v>
      </c>
      <c r="D28" s="2">
        <f t="shared" si="13"/>
        <v>-0.136430907</v>
      </c>
      <c r="E28" s="2">
        <f t="shared" si="13"/>
        <v>-0.1483405907</v>
      </c>
      <c r="F28" s="2">
        <f t="shared" si="13"/>
        <v>-0.1506091018</v>
      </c>
      <c r="G28" s="2">
        <f t="shared" si="13"/>
        <v>-0.1510411992</v>
      </c>
    </row>
    <row r="29">
      <c r="A29" s="1" t="s">
        <v>21</v>
      </c>
      <c r="C29" s="2">
        <f t="shared" ref="C29:G29" si="14">C27/-2.5</f>
        <v>-0.6339050681</v>
      </c>
      <c r="D29" s="2">
        <f t="shared" si="14"/>
        <v>-0.696430907</v>
      </c>
      <c r="E29" s="2">
        <f t="shared" si="14"/>
        <v>-0.7083405907</v>
      </c>
      <c r="F29" s="2">
        <f t="shared" si="14"/>
        <v>-0.7106091018</v>
      </c>
      <c r="G29" s="2">
        <f t="shared" si="14"/>
        <v>-0.7110411992</v>
      </c>
    </row>
    <row r="30">
      <c r="A30" s="1" t="s">
        <v>22</v>
      </c>
      <c r="C30" s="2">
        <f t="shared" ref="C30:G30" si="15">C24*POWER(10,C28)</f>
        <v>3.22815E+26</v>
      </c>
      <c r="D30" s="2">
        <f t="shared" si="15"/>
        <v>2.79529E+26</v>
      </c>
      <c r="E30" s="2">
        <f t="shared" si="15"/>
        <v>2.71968E+26</v>
      </c>
      <c r="F30" s="2">
        <f t="shared" si="15"/>
        <v>2.70551E+26</v>
      </c>
      <c r="G30" s="2">
        <f t="shared" si="15"/>
        <v>2.70282E+26</v>
      </c>
    </row>
    <row r="31">
      <c r="A31" s="1" t="s">
        <v>23</v>
      </c>
      <c r="C31" s="2">
        <f t="shared" ref="C31:G31" si="16">C24*POWER(10,C29)</f>
        <v>8.89106E+25</v>
      </c>
      <c r="D31" s="2">
        <f t="shared" si="16"/>
        <v>7.69888E+25</v>
      </c>
      <c r="E31" s="2">
        <f t="shared" si="16"/>
        <v>7.49062E+25</v>
      </c>
      <c r="F31" s="2">
        <f t="shared" si="16"/>
        <v>7.4516E+25</v>
      </c>
      <c r="G31" s="2">
        <f t="shared" si="16"/>
        <v>7.44419E+25</v>
      </c>
    </row>
    <row r="33">
      <c r="A33" s="1" t="s">
        <v>24</v>
      </c>
      <c r="C33" s="5">
        <v>1.989E30</v>
      </c>
      <c r="D33" s="5">
        <v>1.989E30</v>
      </c>
      <c r="E33" s="5">
        <v>1.989E30</v>
      </c>
      <c r="F33" s="5">
        <v>1.989E30</v>
      </c>
      <c r="G33" s="5">
        <v>1.989E30</v>
      </c>
    </row>
    <row r="34">
      <c r="A34" s="1" t="s">
        <v>25</v>
      </c>
      <c r="C34" s="6">
        <f t="shared" ref="C34:G34" si="17">C33*POWER((C30/C24),(1/3.5))</f>
        <v>1.89461E+30</v>
      </c>
      <c r="D34" s="6">
        <f t="shared" si="17"/>
        <v>1.81825E+30</v>
      </c>
      <c r="E34" s="6">
        <f t="shared" si="17"/>
        <v>1.80406E+30</v>
      </c>
      <c r="F34" s="6">
        <f t="shared" si="17"/>
        <v>1.80137E+30</v>
      </c>
      <c r="G34" s="6">
        <f t="shared" si="17"/>
        <v>1.80086E+30</v>
      </c>
    </row>
    <row r="35">
      <c r="A35" s="1" t="s">
        <v>26</v>
      </c>
      <c r="C35" s="6">
        <f t="shared" ref="C35:G35" si="18">C33*POWER((C31/C24),(1/3.5))</f>
        <v>1.31075E+30</v>
      </c>
      <c r="D35" s="6">
        <f t="shared" si="18"/>
        <v>1.25792E+30</v>
      </c>
      <c r="E35" s="6">
        <f t="shared" si="18"/>
        <v>1.24811E+30</v>
      </c>
      <c r="F35" s="6">
        <f t="shared" si="18"/>
        <v>1.24625E+30</v>
      </c>
      <c r="G35" s="6">
        <f t="shared" si="18"/>
        <v>1.24589E+30</v>
      </c>
    </row>
    <row r="36">
      <c r="C36" s="7">
        <f t="shared" ref="C36:G36" si="19">C34/C33</f>
        <v>0.9525422903</v>
      </c>
      <c r="D36" s="7">
        <f t="shared" si="19"/>
        <v>0.9141547934</v>
      </c>
      <c r="E36" s="7">
        <f t="shared" si="19"/>
        <v>0.9070202311</v>
      </c>
      <c r="F36" s="7">
        <f t="shared" si="19"/>
        <v>0.9056675933</v>
      </c>
      <c r="G36" s="7">
        <f t="shared" si="19"/>
        <v>0.9054101768</v>
      </c>
    </row>
    <row r="37">
      <c r="C37" s="7">
        <f t="shared" ref="C37:G37" si="20">C35/C33</f>
        <v>0.6589982575</v>
      </c>
      <c r="D37" s="7">
        <f t="shared" si="20"/>
        <v>0.6324405983</v>
      </c>
      <c r="E37" s="7">
        <f t="shared" si="20"/>
        <v>0.6275046871</v>
      </c>
      <c r="F37" s="7">
        <f t="shared" si="20"/>
        <v>0.6265688904</v>
      </c>
      <c r="G37" s="7">
        <f t="shared" si="20"/>
        <v>0.6263908017</v>
      </c>
    </row>
    <row r="38">
      <c r="C38" s="7"/>
      <c r="D38" s="7"/>
      <c r="E38" s="7"/>
      <c r="F38" s="7"/>
      <c r="G38" s="7"/>
    </row>
    <row r="39">
      <c r="C39" s="7">
        <f t="shared" ref="C39:G39" si="21">C37+C36</f>
        <v>1.611540548</v>
      </c>
      <c r="D39" s="7">
        <f t="shared" si="21"/>
        <v>1.546595392</v>
      </c>
      <c r="E39" s="7">
        <f t="shared" si="21"/>
        <v>1.534524918</v>
      </c>
      <c r="F39" s="7">
        <f t="shared" si="21"/>
        <v>1.532236484</v>
      </c>
      <c r="G39" s="7">
        <f t="shared" si="21"/>
        <v>1.531800979</v>
      </c>
    </row>
    <row r="41">
      <c r="C41" s="8">
        <f>C34/C33</f>
        <v>0.9525422903</v>
      </c>
      <c r="D41" s="8">
        <f t="shared" ref="D41:G41" si="22">D34/C34</f>
        <v>0.9596999553</v>
      </c>
      <c r="E41" s="8">
        <f t="shared" si="22"/>
        <v>0.9921954549</v>
      </c>
      <c r="F41" s="8">
        <f t="shared" si="22"/>
        <v>0.9985087017</v>
      </c>
      <c r="G41" s="8">
        <f t="shared" si="22"/>
        <v>0.9997157716</v>
      </c>
    </row>
    <row r="42">
      <c r="C42" s="8">
        <f>C35/C33</f>
        <v>0.6589982575</v>
      </c>
      <c r="D42" s="8">
        <f t="shared" ref="D42:G42" si="23">D35/C35</f>
        <v>0.9596999553</v>
      </c>
      <c r="E42" s="8">
        <f t="shared" si="23"/>
        <v>0.9921954549</v>
      </c>
      <c r="F42" s="8">
        <f t="shared" si="23"/>
        <v>0.9985087017</v>
      </c>
      <c r="G42" s="8">
        <f t="shared" si="23"/>
        <v>0.9997157716</v>
      </c>
    </row>
    <row r="43">
      <c r="D43" s="8"/>
    </row>
    <row r="44">
      <c r="C44" s="2">
        <f>C39/2</f>
        <v>0.8057702739</v>
      </c>
      <c r="D44" s="2">
        <f t="shared" ref="D44:F44" si="24">D39/C39</f>
        <v>0.9596999553</v>
      </c>
      <c r="E44" s="2">
        <f t="shared" si="24"/>
        <v>0.9921954549</v>
      </c>
      <c r="F44" s="2">
        <f t="shared" si="24"/>
        <v>0.9985087017</v>
      </c>
    </row>
    <row r="45">
      <c r="C45" s="2">
        <f t="shared" ref="C45:F45" si="25">1-C44</f>
        <v>0.1942297261</v>
      </c>
      <c r="D45" s="2">
        <f t="shared" si="25"/>
        <v>0.04030004469</v>
      </c>
      <c r="E45" s="2">
        <f t="shared" si="25"/>
        <v>0.007804545129</v>
      </c>
      <c r="F45" s="2">
        <f t="shared" si="25"/>
        <v>0.001491298334</v>
      </c>
    </row>
  </sheetData>
  <drawing r:id="rId1"/>
</worksheet>
</file>